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UX" sheetId="1" state="visible" r:id="rId3"/>
    <sheet name="Valoraciones" sheetId="2" state="visible" r:id="rId4"/>
    <sheet name="Métricas de la prueb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<sst xmlns="http://schemas.openxmlformats.org/spreadsheetml/2006/main" count="101" uniqueCount="85">
  <si>
    <t xml:space="preserve">Matriz UX — momento / emoción / evidencia / mejora · Pantalla «4. Mapa» (SuperOfertas Ecuador)</t>
  </si>
  <si>
    <t xml:space="preserve">Tarea: confirmar en el mapa la dirección de entrega (Calle Inventada 123, Barrio Ejemplo) y continuar al pago.</t>
  </si>
  <si>
    <t xml:space="preserve">Momento</t>
  </si>
  <si>
    <t xml:space="preserve">Fase</t>
  </si>
  <si>
    <t xml:space="preserve">Captura</t>
  </si>
  <si>
    <t xml:space="preserve">Emoción reportada</t>
  </si>
  <si>
    <t xml:space="preserve">Valoración antes (prom.)</t>
  </si>
  <si>
    <t xml:space="preserve">Evidencia observable en la prueba</t>
  </si>
  <si>
    <t xml:space="preserve">Evidencia de la actividad de clase (13/10/2026)</t>
  </si>
  <si>
    <t xml:space="preserve">Mejora propuesta</t>
  </si>
  <si>
    <t xml:space="preserve">Principio IHC que la fundamenta</t>
  </si>
  <si>
    <t xml:space="preserve">Valoración después (prom.)</t>
  </si>
  <si>
    <t xml:space="preserve">Cambio</t>
  </si>
  <si>
    <t xml:space="preserve">Resultado de la validación</t>
  </si>
  <si>
    <t xml:space="preserve">M1 · Ingreso a «4. Mapa»</t>
  </si>
  <si>
    <t xml:space="preserve">Antes</t>
  </si>
  <si>
    <t xml:space="preserve">C1</t>
  </si>
  <si>
    <t xml:space="preserve">Desconfianza y presión (P1: expectativa por la oferta)</t>
  </si>
  <si>
    <t xml:space="preserve">P2: «Con tanto "Ofertta" mal escrito no sé si es una tienda seria». P3 tardó en ubicar el título entre el banner y el contador.</t>
  </si>
  <si>
    <t xml:space="preserve">G3: urgencia artificial (09:59), error ortográfico y colores que no cumplen contraste.</t>
  </si>
  <si>
    <t xml:space="preserve">Encabezado sobrio sin cuenta regresiva ni mensajes de presión; título orientado a la tarea; señal «Pago seguro».</t>
  </si>
  <si>
    <t xml:space="preserve">Nielsen #8 Diseño estético y minimalista; nivel visceral del diseño emocional (Norman); evitar patrones oscuros.</t>
  </si>
  <si>
    <t xml:space="preserve">Los tres perfiles valoraron el ingreso de forma positiva; ninguno mencionó presión.</t>
  </si>
  <si>
    <t xml:space="preserve">M2 · Explorar el mapa</t>
  </si>
  <si>
    <t xml:space="preserve">Durante</t>
  </si>
  <si>
    <t xml:space="preserve">C2</t>
  </si>
  <si>
    <t xml:space="preserve">Duda y confusión</t>
  </si>
  <si>
    <t xml:space="preserve">P1: «¿El pin rojo es mi casa? El 123 está abajo». El pin y el marcador «123» están en manzanas distintas.</t>
  </si>
  <si>
    <t xml:space="preserve">G1: el pin está lejos de la dirección marcada. G4: «el mapa genera dudas sobre la entrega».</t>
  </si>
  <si>
    <t xml:space="preserve">Pin sobre la dirección con etiqueta «Calle Inventada 123» y verificación «El pin coincide con la dirección ingresada».</t>
  </si>
  <si>
    <t xml:space="preserve">Nielsen #1 Visibilidad del estado del sistema; #2 Relación entre el sistema y el mundo real.</t>
  </si>
  <si>
    <t xml:space="preserve">Los tres identificaron su domicilio en menos de 5 s.</t>
  </si>
  <si>
    <t xml:space="preserve">M3 · Ubicar o ajustar el pin</t>
  </si>
  <si>
    <t xml:space="preserve">C3</t>
  </si>
  <si>
    <t xml:space="preserve">Frustración</t>
  </si>
  <si>
    <t xml:space="preserve">P3 hizo clic tres veces sobre el mapa sin respuesta y no notó los controles «+ / −». Nadie supo si el pin se podía mover.</t>
  </si>
  <si>
    <t xml:space="preserve">G1: el mapa no tiene instrucciones.</t>
  </si>
  <si>
    <t xml:space="preserve">Instrucción «Puedes arrastrar el pin», controles de zoom visibles y botón «Centrar en mi dirección».</t>
  </si>
  <si>
    <t xml:space="preserve">Nielsen #10 Ayuda y documentación; significantes y affordance (Norman); Ley de Fitts.</t>
  </si>
  <si>
    <t xml:space="preserve">Mejoró, aunque P3 todavía dudó al arrastrar (valor 0): se recomienda reforzar el significante.</t>
  </si>
  <si>
    <t xml:space="preserve">M4 · Guardar la dirección</t>
  </si>
  <si>
    <t xml:space="preserve">C4</t>
  </si>
  <si>
    <t xml:space="preserve">Incertidumbre y ansiedad (momento crítico)</t>
  </si>
  <si>
    <t xml:space="preserve">P2: «¿Dónde guardo? Solo veo OMITIR». El botón gris «Guardar dirección» parecía deshabilitado; dos perfiles no lo encontraron.</t>
  </si>
  <si>
    <t xml:space="preserve">G5: «El botón OMITIR es enorme y Guardar dirección casi no se ve».</t>
  </si>
  <si>
    <t xml:space="preserve">Acción principal única «Confirmar dirección y continuar»; «Omitir» degradado a enlace secundario.</t>
  </si>
  <si>
    <t xml:space="preserve">Jerarquía visual; Nielsen #3 Control y libertad del usuario; Ley de Fitts.</t>
  </si>
  <si>
    <t xml:space="preserve">Mayor mejora del recorrido: los tres confirmaron sin buscar el botón.</t>
  </si>
  <si>
    <t xml:space="preserve">M5 · Continuar al pago</t>
  </si>
  <si>
    <t xml:space="preserve">Después</t>
  </si>
  <si>
    <t xml:space="preserve">C5</t>
  </si>
  <si>
    <t xml:space="preserve">Inseguridad sobre el resultado</t>
  </si>
  <si>
    <t xml:space="preserve">P1 pulsó «OMITIR» creyendo que guardaba; al llegar a «Pagar» preguntó si la dirección se había guardado.</t>
  </si>
  <si>
    <t xml:space="preserve">G4: la pantalla «permite omitir la revisión, lo que genera dudas sobre la entrega».</t>
  </si>
  <si>
    <t xml:space="preserve">Mensaje «Dirección guardada correctamente», botón en verde y barra de pasos que avanza a «Pago».</t>
  </si>
  <si>
    <t xml:space="preserve">Nielsen #1 Visibilidad del estado; regla pico-final (Kahneman).</t>
  </si>
  <si>
    <t xml:space="preserve">Los tres terminaron seguros de que la dirección quedó registrada.</t>
  </si>
  <si>
    <t xml:space="preserve">Promedio del recorrido</t>
  </si>
  <si>
    <t xml:space="preserve">Valoraciones: promedio de los participantes P1–P3 (hoja «Valoraciones»). Fuente de la evidencia de clase: respuestas de la actividad del Grupo 1, repositorio juANO2202/HCI-2026-G1, carpeta evidencias/.</t>
  </si>
  <si>
    <t xml:space="preserve">Valoraciones emocionales por momento (escala −3 muy negativa a +3 muy positiva)</t>
  </si>
  <si>
    <t xml:space="preserve">Participante</t>
  </si>
  <si>
    <t xml:space="preserve">M1 Ingreso</t>
  </si>
  <si>
    <t xml:space="preserve">M2 Explorar mapa</t>
  </si>
  <si>
    <t xml:space="preserve">M3 Ubicar pin</t>
  </si>
  <si>
    <t xml:space="preserve">M4 Guardar dirección</t>
  </si>
  <si>
    <t xml:space="preserve">M5 Continuar al pago</t>
  </si>
  <si>
    <t xml:space="preserve">P1</t>
  </si>
  <si>
    <t xml:space="preserve">P2</t>
  </si>
  <si>
    <t xml:space="preserve">P3</t>
  </si>
  <si>
    <t xml:space="preserve">Promedio antes</t>
  </si>
  <si>
    <t xml:space="preserve">Promedio después</t>
  </si>
  <si>
    <t xml:space="preserve">Diferencia (después − antes)</t>
  </si>
  <si>
    <t xml:space="preserve">Escala: −3 muy negativa · 0 neutra · +3 muy positiva. Promedios calculados con fórmula.</t>
  </si>
  <si>
    <t xml:space="preserve">Métricas de desempeño por perfil — misma tarea en ambas versiones</t>
  </si>
  <si>
    <t xml:space="preserve">Éxito antes (1 sí / 0.5 parcial / 0 no)</t>
  </si>
  <si>
    <t xml:space="preserve">Éxito después</t>
  </si>
  <si>
    <t xml:space="preserve">Tiempo antes (s)</t>
  </si>
  <si>
    <t xml:space="preserve">Tiempo después (s)</t>
  </si>
  <si>
    <t xml:space="preserve">Errores antes</t>
  </si>
  <si>
    <t xml:space="preserve">Errores después</t>
  </si>
  <si>
    <t xml:space="preserve">SEQ antes (1–7)</t>
  </si>
  <si>
    <t xml:space="preserve">SEQ después (1–7)</t>
  </si>
  <si>
    <t xml:space="preserve">Promedio</t>
  </si>
  <si>
    <t xml:space="preserve">Reducción del tiempo promedio (%)</t>
  </si>
  <si>
    <t xml:space="preserve">Éxito: 1 = completa sin ayuda; 0.5 = completa sin guardar la dirección; 0 = no completa sin ayuda. SEQ: Single Ease Question.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</si>
</sst>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+0.00;\-0.00;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B1F24"/>
      <name val="Arial"/>
      <family val="0"/>
      <charset val="1"/>
    </font>
    <font>
      <sz val="10"/>
      <color rgb="FF4A5361"/>
      <name val="Arial"/>
      <family val="0"/>
      <charset val="1"/>
    </font>
    <font>
      <b val="true"/>
      <sz val="10"/>
      <color rgb="FF1B1F24"/>
      <name val="Arial"/>
      <family val="0"/>
      <charset val="1"/>
    </font>
    <font>
      <sz val="10"/>
      <color rgb="FF1B1F24"/>
      <name val="Arial"/>
      <family val="0"/>
      <charset val="1"/>
    </font>
    <font>
      <sz val="9"/>
      <color rgb="FF4A536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EF"/>
        <bgColor rgb="FFF1F3F5"/>
      </patternFill>
    </fill>
    <fill>
      <patternFill patternType="solid">
        <fgColor rgb="FFF1F3F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AF"/>
      </left>
      <right style="thin">
        <color rgb="FF9AA3AF"/>
      </right>
      <top style="thin">
        <color rgb="FF9AA3AF"/>
      </top>
      <bottom style="thin">
        <color rgb="FF9A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3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361"/>
      <rgbColor rgb="FF9AA3AF"/>
      <rgbColor rgb="FF003366"/>
      <rgbColor rgb="FF339966"/>
      <rgbColor rgb="FF003300"/>
      <rgbColor rgb="FF333300"/>
      <rgbColor rgb="FF993300"/>
      <rgbColor rgb="FF993366"/>
      <rgbColor rgb="FF333399"/>
      <rgbColor rgb="FF1B1F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17.75" hidden="false" customHeight="true" outlineLevel="0" collapsed="false">
      <c r="A5" s="4" t="s">
        <v>14</v>
      </c>
      <c r="B5" s="5" t="s">
        <v>15</v>
      </c>
      <c r="C5" s="5" t="s">
        <v>16</v>
      </c>
      <c r="D5" s="6" t="s">
        <v>17</v>
      </c>
      <c r="E5" s="7" t="n">
        <f aca="false">Valoraciones!C10</f>
        <v>-0.666666666666667</v>
      </c>
      <c r="F5" s="6" t="s">
        <v>18</v>
      </c>
      <c r="G5" s="6" t="s">
        <v>19</v>
      </c>
      <c r="H5" s="6" t="s">
        <v>20</v>
      </c>
      <c r="I5" s="6" t="s">
        <v>21</v>
      </c>
      <c r="J5" s="7" t="n">
        <f aca="false">Valoraciones!C11</f>
        <v>1.33333333333333</v>
      </c>
      <c r="K5" s="7" t="n">
        <f aca="false">J5-E5</f>
        <v>2</v>
      </c>
      <c r="L5" s="6" t="s">
        <v>22</v>
      </c>
    </row>
    <row r="6" customFormat="false" ht="117.75" hidden="false" customHeight="true" outlineLevel="0" collapsed="false">
      <c r="A6" s="4" t="s">
        <v>23</v>
      </c>
      <c r="B6" s="5" t="s">
        <v>24</v>
      </c>
      <c r="C6" s="5" t="s">
        <v>25</v>
      </c>
      <c r="D6" s="6" t="s">
        <v>26</v>
      </c>
      <c r="E6" s="7" t="n">
        <f aca="false">Valoraciones!D10</f>
        <v>-1.66666666666667</v>
      </c>
      <c r="F6" s="6" t="s">
        <v>27</v>
      </c>
      <c r="G6" s="6" t="s">
        <v>28</v>
      </c>
      <c r="H6" s="6" t="s">
        <v>29</v>
      </c>
      <c r="I6" s="6" t="s">
        <v>30</v>
      </c>
      <c r="J6" s="7" t="n">
        <f aca="false">Valoraciones!D11</f>
        <v>1.33333333333333</v>
      </c>
      <c r="K6" s="7" t="n">
        <f aca="false">J6-E6</f>
        <v>3</v>
      </c>
      <c r="L6" s="6" t="s">
        <v>31</v>
      </c>
    </row>
    <row r="7" customFormat="false" ht="117.75" hidden="false" customHeight="true" outlineLevel="0" collapsed="false">
      <c r="A7" s="4" t="s">
        <v>32</v>
      </c>
      <c r="B7" s="5" t="s">
        <v>24</v>
      </c>
      <c r="C7" s="5" t="s">
        <v>33</v>
      </c>
      <c r="D7" s="6" t="s">
        <v>34</v>
      </c>
      <c r="E7" s="7" t="n">
        <f aca="false">Valoraciones!E10</f>
        <v>-2.33333333333333</v>
      </c>
      <c r="F7" s="6" t="s">
        <v>35</v>
      </c>
      <c r="G7" s="6" t="s">
        <v>36</v>
      </c>
      <c r="H7" s="6" t="s">
        <v>37</v>
      </c>
      <c r="I7" s="6" t="s">
        <v>38</v>
      </c>
      <c r="J7" s="7" t="n">
        <f aca="false">Valoraciones!E11</f>
        <v>0.666666666666667</v>
      </c>
      <c r="K7" s="7" t="n">
        <f aca="false">J7-E7</f>
        <v>3</v>
      </c>
      <c r="L7" s="6" t="s">
        <v>39</v>
      </c>
    </row>
    <row r="8" customFormat="false" ht="117.75" hidden="false" customHeight="true" outlineLevel="0" collapsed="false">
      <c r="A8" s="4" t="s">
        <v>40</v>
      </c>
      <c r="B8" s="5" t="s">
        <v>24</v>
      </c>
      <c r="C8" s="5" t="s">
        <v>41</v>
      </c>
      <c r="D8" s="6" t="s">
        <v>42</v>
      </c>
      <c r="E8" s="7" t="n">
        <f aca="false">Valoraciones!F10</f>
        <v>-2.66666666666667</v>
      </c>
      <c r="F8" s="6" t="s">
        <v>43</v>
      </c>
      <c r="G8" s="6" t="s">
        <v>44</v>
      </c>
      <c r="H8" s="6" t="s">
        <v>45</v>
      </c>
      <c r="I8" s="6" t="s">
        <v>46</v>
      </c>
      <c r="J8" s="7" t="n">
        <f aca="false">Valoraciones!F11</f>
        <v>2</v>
      </c>
      <c r="K8" s="7" t="n">
        <f aca="false">J8-E8</f>
        <v>4.66666666666667</v>
      </c>
      <c r="L8" s="6" t="s">
        <v>47</v>
      </c>
    </row>
    <row r="9" customFormat="false" ht="117.75" hidden="false" customHeight="true" outlineLevel="0" collapsed="false">
      <c r="A9" s="4" t="s">
        <v>48</v>
      </c>
      <c r="B9" s="5" t="s">
        <v>49</v>
      </c>
      <c r="C9" s="5" t="s">
        <v>50</v>
      </c>
      <c r="D9" s="6" t="s">
        <v>51</v>
      </c>
      <c r="E9" s="7" t="n">
        <f aca="false">Valoraciones!G10</f>
        <v>-1.66666666666667</v>
      </c>
      <c r="F9" s="6" t="s">
        <v>52</v>
      </c>
      <c r="G9" s="6" t="s">
        <v>53</v>
      </c>
      <c r="H9" s="6" t="s">
        <v>54</v>
      </c>
      <c r="I9" s="6" t="s">
        <v>55</v>
      </c>
      <c r="J9" s="7" t="n">
        <f aca="false">Valoraciones!G11</f>
        <v>1.66666666666667</v>
      </c>
      <c r="K9" s="7" t="n">
        <f aca="false">J9-E9</f>
        <v>3.33333333333333</v>
      </c>
      <c r="L9" s="6" t="s">
        <v>56</v>
      </c>
    </row>
    <row r="11" customFormat="false" ht="15" hidden="false" customHeight="false" outlineLevel="0" collapsed="false">
      <c r="D11" s="8" t="s">
        <v>57</v>
      </c>
      <c r="E11" s="9" t="n">
        <f aca="false">AVERAGE(E5:E9)</f>
        <v>-1.8</v>
      </c>
      <c r="J11" s="9" t="n">
        <f aca="false">AVERAGE(J5:J9)</f>
        <v>1.4</v>
      </c>
      <c r="K11" s="9" t="n">
        <f aca="false">J11-E11</f>
        <v>3.2</v>
      </c>
    </row>
    <row r="13" customFormat="false" ht="15" hidden="false" customHeight="false" outlineLevel="0" collapsed="false">
      <c r="A13" s="1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59</v>
      </c>
    </row>
    <row r="3" customFormat="false" ht="15" hidden="false" customHeight="false" outlineLevel="0" collapsed="false">
      <c r="A3" s="3" t="s">
        <v>3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</row>
    <row r="4" customFormat="false" ht="15" hidden="false" customHeight="false" outlineLevel="0" collapsed="false">
      <c r="A4" s="11" t="s">
        <v>15</v>
      </c>
      <c r="B4" s="11" t="s">
        <v>66</v>
      </c>
      <c r="C4" s="12" t="n">
        <v>1</v>
      </c>
      <c r="D4" s="12" t="n">
        <v>-1</v>
      </c>
      <c r="E4" s="12" t="n">
        <v>-2</v>
      </c>
      <c r="F4" s="12" t="n">
        <v>-2</v>
      </c>
      <c r="G4" s="12" t="n">
        <v>-1</v>
      </c>
    </row>
    <row r="5" customFormat="false" ht="15" hidden="false" customHeight="false" outlineLevel="0" collapsed="false">
      <c r="A5" s="11" t="s">
        <v>15</v>
      </c>
      <c r="B5" s="11" t="s">
        <v>67</v>
      </c>
      <c r="C5" s="12" t="n">
        <v>-2</v>
      </c>
      <c r="D5" s="12" t="n">
        <v>-2</v>
      </c>
      <c r="E5" s="12" t="n">
        <v>-2</v>
      </c>
      <c r="F5" s="12" t="n">
        <v>-3</v>
      </c>
      <c r="G5" s="12" t="n">
        <v>-2</v>
      </c>
    </row>
    <row r="6" customFormat="false" ht="15" hidden="false" customHeight="false" outlineLevel="0" collapsed="false">
      <c r="A6" s="11" t="s">
        <v>15</v>
      </c>
      <c r="B6" s="11" t="s">
        <v>68</v>
      </c>
      <c r="C6" s="12" t="n">
        <v>-1</v>
      </c>
      <c r="D6" s="12" t="n">
        <v>-2</v>
      </c>
      <c r="E6" s="12" t="n">
        <v>-3</v>
      </c>
      <c r="F6" s="12" t="n">
        <v>-3</v>
      </c>
      <c r="G6" s="12" t="n">
        <v>-2</v>
      </c>
    </row>
    <row r="7" customFormat="false" ht="15" hidden="false" customHeight="false" outlineLevel="0" collapsed="false">
      <c r="A7" s="11" t="s">
        <v>49</v>
      </c>
      <c r="B7" s="11" t="s">
        <v>66</v>
      </c>
      <c r="C7" s="12" t="n">
        <v>2</v>
      </c>
      <c r="D7" s="12" t="n">
        <v>2</v>
      </c>
      <c r="E7" s="12" t="n">
        <v>1</v>
      </c>
      <c r="F7" s="12" t="n">
        <v>2</v>
      </c>
      <c r="G7" s="12" t="n">
        <v>2</v>
      </c>
    </row>
    <row r="8" customFormat="false" ht="15" hidden="false" customHeight="false" outlineLevel="0" collapsed="false">
      <c r="A8" s="11" t="s">
        <v>49</v>
      </c>
      <c r="B8" s="11" t="s">
        <v>67</v>
      </c>
      <c r="C8" s="12" t="n">
        <v>1</v>
      </c>
      <c r="D8" s="12" t="n">
        <v>1</v>
      </c>
      <c r="E8" s="12" t="n">
        <v>1</v>
      </c>
      <c r="F8" s="12" t="n">
        <v>2</v>
      </c>
      <c r="G8" s="12" t="n">
        <v>2</v>
      </c>
    </row>
    <row r="9" customFormat="false" ht="15" hidden="false" customHeight="false" outlineLevel="0" collapsed="false">
      <c r="A9" s="11" t="s">
        <v>49</v>
      </c>
      <c r="B9" s="11" t="s">
        <v>68</v>
      </c>
      <c r="C9" s="12" t="n">
        <v>1</v>
      </c>
      <c r="D9" s="12" t="n">
        <v>1</v>
      </c>
      <c r="E9" s="12" t="n">
        <v>0</v>
      </c>
      <c r="F9" s="12" t="n">
        <v>2</v>
      </c>
      <c r="G9" s="12" t="n">
        <v>1</v>
      </c>
    </row>
    <row r="10" customFormat="false" ht="15" hidden="false" customHeight="false" outlineLevel="0" collapsed="false">
      <c r="A10" s="13" t="s">
        <v>69</v>
      </c>
      <c r="B10" s="13"/>
      <c r="C10" s="14" t="n">
        <f aca="false">AVERAGE(C4:C6)</f>
        <v>-0.666666666666667</v>
      </c>
      <c r="D10" s="14" t="n">
        <f aca="false">AVERAGE(D4:D6)</f>
        <v>-1.66666666666667</v>
      </c>
      <c r="E10" s="14" t="n">
        <f aca="false">AVERAGE(E4:E6)</f>
        <v>-2.33333333333333</v>
      </c>
      <c r="F10" s="14" t="n">
        <f aca="false">AVERAGE(F4:F6)</f>
        <v>-2.66666666666667</v>
      </c>
      <c r="G10" s="14" t="n">
        <f aca="false">AVERAGE(G4:G6)</f>
        <v>-1.66666666666667</v>
      </c>
    </row>
    <row r="11" customFormat="false" ht="15" hidden="false" customHeight="false" outlineLevel="0" collapsed="false">
      <c r="A11" s="13" t="s">
        <v>70</v>
      </c>
      <c r="B11" s="13"/>
      <c r="C11" s="14" t="n">
        <f aca="false">AVERAGE(C7:C9)</f>
        <v>1.33333333333333</v>
      </c>
      <c r="D11" s="14" t="n">
        <f aca="false">AVERAGE(D7:D9)</f>
        <v>1.33333333333333</v>
      </c>
      <c r="E11" s="14" t="n">
        <f aca="false">AVERAGE(E7:E9)</f>
        <v>0.666666666666667</v>
      </c>
      <c r="F11" s="14" t="n">
        <f aca="false">AVERAGE(F7:F9)</f>
        <v>2</v>
      </c>
      <c r="G11" s="14" t="n">
        <f aca="false">AVERAGE(G7:G9)</f>
        <v>1.66666666666667</v>
      </c>
    </row>
    <row r="12" customFormat="false" ht="15" hidden="false" customHeight="false" outlineLevel="0" collapsed="false">
      <c r="A12" s="13" t="s">
        <v>71</v>
      </c>
      <c r="B12" s="13"/>
      <c r="C12" s="14" t="n">
        <f aca="false">C11-C10</f>
        <v>2</v>
      </c>
      <c r="D12" s="14" t="n">
        <f aca="false">D11-D10</f>
        <v>3</v>
      </c>
      <c r="E12" s="14" t="n">
        <f aca="false">E11-E10</f>
        <v>3</v>
      </c>
      <c r="F12" s="14" t="n">
        <f aca="false">F11-F10</f>
        <v>4.66666666666667</v>
      </c>
      <c r="G12" s="14" t="n">
        <f aca="false">G11-G10</f>
        <v>3.33333333333333</v>
      </c>
    </row>
    <row r="14" customFormat="false" ht="15" hidden="false" customHeight="false" outlineLevel="0" collapsed="false">
      <c r="A14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73</v>
      </c>
    </row>
    <row r="3" customFormat="false" ht="43.5" hidden="false" customHeight="true" outlineLevel="0" collapsed="false">
      <c r="A3" s="3" t="s">
        <v>60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79</v>
      </c>
      <c r="H3" s="3" t="s">
        <v>80</v>
      </c>
      <c r="I3" s="3" t="s">
        <v>81</v>
      </c>
    </row>
    <row r="4" customFormat="false" ht="15" hidden="false" customHeight="false" outlineLevel="0" collapsed="false">
      <c r="A4" s="15" t="s">
        <v>66</v>
      </c>
      <c r="B4" s="12" t="n">
        <v>0.5</v>
      </c>
      <c r="C4" s="12" t="n">
        <v>1</v>
      </c>
      <c r="D4" s="12" t="n">
        <v>52</v>
      </c>
      <c r="E4" s="12" t="n">
        <v>21</v>
      </c>
      <c r="F4" s="12" t="n">
        <v>2</v>
      </c>
      <c r="G4" s="12" t="n">
        <v>0</v>
      </c>
      <c r="H4" s="12" t="n">
        <v>3</v>
      </c>
      <c r="I4" s="12" t="n">
        <v>6</v>
      </c>
    </row>
    <row r="5" customFormat="false" ht="15" hidden="false" customHeight="false" outlineLevel="0" collapsed="false">
      <c r="A5" s="15" t="s">
        <v>67</v>
      </c>
      <c r="B5" s="12" t="n">
        <v>1</v>
      </c>
      <c r="C5" s="12" t="n">
        <v>1</v>
      </c>
      <c r="D5" s="12" t="n">
        <v>98</v>
      </c>
      <c r="E5" s="12" t="n">
        <v>29</v>
      </c>
      <c r="F5" s="12" t="n">
        <v>3</v>
      </c>
      <c r="G5" s="12" t="n">
        <v>0</v>
      </c>
      <c r="H5" s="12" t="n">
        <v>2</v>
      </c>
      <c r="I5" s="12" t="n">
        <v>6</v>
      </c>
    </row>
    <row r="6" customFormat="false" ht="15" hidden="false" customHeight="false" outlineLevel="0" collapsed="false">
      <c r="A6" s="15" t="s">
        <v>68</v>
      </c>
      <c r="B6" s="12" t="n">
        <v>0</v>
      </c>
      <c r="C6" s="12" t="n">
        <v>1</v>
      </c>
      <c r="D6" s="12" t="n">
        <v>165</v>
      </c>
      <c r="E6" s="12" t="n">
        <v>44</v>
      </c>
      <c r="F6" s="12" t="n">
        <v>4</v>
      </c>
      <c r="G6" s="12" t="n">
        <v>1</v>
      </c>
      <c r="H6" s="12" t="n">
        <v>2</v>
      </c>
      <c r="I6" s="12" t="n">
        <v>5</v>
      </c>
    </row>
    <row r="7" customFormat="false" ht="15" hidden="false" customHeight="false" outlineLevel="0" collapsed="false">
      <c r="A7" s="8" t="s">
        <v>82</v>
      </c>
      <c r="B7" s="15" t="n">
        <f aca="false">ROUND(AVERAGE(B4:B6),2)</f>
        <v>0.5</v>
      </c>
      <c r="C7" s="15" t="n">
        <f aca="false">ROUND(AVERAGE(C4:C6),2)</f>
        <v>1</v>
      </c>
      <c r="D7" s="15" t="n">
        <f aca="false">ROUND(AVERAGE(D4:D6),2)</f>
        <v>105</v>
      </c>
      <c r="E7" s="15" t="n">
        <f aca="false">ROUND(AVERAGE(E4:E6),2)</f>
        <v>31.33</v>
      </c>
      <c r="F7" s="15" t="n">
        <f aca="false">ROUND(AVERAGE(F4:F6),2)</f>
        <v>3</v>
      </c>
      <c r="G7" s="15" t="n">
        <f aca="false">ROUND(AVERAGE(G4:G6),2)</f>
        <v>0.33</v>
      </c>
      <c r="H7" s="15" t="n">
        <f aca="false">ROUND(AVERAGE(H4:H6),2)</f>
        <v>2.33</v>
      </c>
      <c r="I7" s="15" t="n">
        <f aca="false">ROUND(AVERAGE(I4:I6),2)</f>
        <v>5.67</v>
      </c>
    </row>
    <row r="9" customFormat="false" ht="15" hidden="false" customHeight="false" outlineLevel="0" collapsed="false">
      <c r="A9" s="0" t="s">
        <v>83</v>
      </c>
      <c r="D9" s="0" t="n">
        <f aca="false">ROUND((D7-E7)/D7*100,1)</f>
        <v>70.2</v>
      </c>
    </row>
    <row r="10" customFormat="false" ht="15" hidden="false" customHeight="false" outlineLevel="0" collapsed="false">
      <c r="A10" s="1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2026-10-16T02:00:36Z</dcterms:created>
  <dc:creator>openpyxl</dc:creator>
  <dc:description/>
  <dc:language>en-US</dc:language>
  <cp:lastModifiedBy/>
  <dcterms:modified xsi:type="dcterms:W3CDTF">2026-10-16T02:00:36Z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